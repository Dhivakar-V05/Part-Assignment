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ssignments\"/>
    </mc:Choice>
  </mc:AlternateContent>
  <xr:revisionPtr revIDLastSave="0" documentId="8_{9C7711CB-FBA7-4261-9385-7AA43C6AEC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  <sheet name=" Calculations and Observations" sheetId="2" r:id="rId2"/>
  </sheets>
  <calcPr calcId="191029"/>
</workbook>
</file>

<file path=xl/calcChain.xml><?xml version="1.0" encoding="utf-8"?>
<calcChain xmlns="http://schemas.openxmlformats.org/spreadsheetml/2006/main">
  <c r="B2" i="2" l="1"/>
  <c r="B8" i="2"/>
  <c r="B7" i="2"/>
  <c r="B6" i="2"/>
  <c r="B5" i="2"/>
  <c r="B4" i="2"/>
  <c r="B3" i="2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</calcChain>
</file>

<file path=xl/sharedStrings.xml><?xml version="1.0" encoding="utf-8"?>
<sst xmlns="http://schemas.openxmlformats.org/spreadsheetml/2006/main" count="159" uniqueCount="110">
  <si>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</si>
  <si>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</si>
  <si>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</si>
  <si>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</si>
  <si>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</si>
  <si>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</si>
  <si>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</si>
  <si>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</si>
  <si>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</si>
  <si>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</si>
  <si>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</si>
  <si>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</si>
  <si>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</si>
  <si>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</si>
  <si>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</si>
  <si>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</si>
  <si>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</si>
  <si>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</si>
  <si>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</si>
  <si>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</si>
  <si>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</si>
  <si>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</si>
  <si>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</si>
  <si>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</si>
  <si>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</si>
  <si>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</si>
  <si>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</si>
  <si>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</si>
  <si>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</si>
  <si>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</si>
  <si>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</si>
  <si>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</si>
  <si>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</si>
  <si>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</si>
  <si>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</si>
  <si>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</si>
  <si>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</si>
  <si>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</si>
  <si>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</si>
  <si>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</si>
  <si>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</si>
  <si>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</si>
  <si>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</si>
  <si>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</si>
  <si>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</si>
  <si>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</si>
  <si>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</si>
  <si>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</si>
  <si>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</si>
  <si>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</si>
  <si>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</si>
  <si>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</si>
  <si>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</si>
  <si>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</si>
  <si>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</si>
  <si>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</si>
  <si>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</si>
  <si>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</si>
  <si>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</si>
  <si>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</si>
  <si>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</si>
  <si>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</si>
  <si>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</si>
  <si>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</si>
  <si>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</si>
  <si>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</si>
  <si>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</si>
  <si>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</si>
  <si>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</si>
  <si>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</si>
  <si>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</si>
  <si>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</si>
  <si>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</si>
  <si>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</si>
  <si>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</si>
  <si>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</si>
  <si>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</si>
  <si>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</si>
  <si>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</si>
  <si>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</si>
  <si>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</si>
  <si>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</si>
  <si>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</si>
  <si>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</si>
  <si>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</si>
  <si>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</si>
  <si>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</si>
  <si>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</si>
  <si>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</si>
  <si>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</si>
  <si>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</si>
  <si>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</si>
  <si>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</si>
  <si>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</si>
  <si>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</si>
  <si>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</si>
  <si>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</si>
  <si>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Calculation</t>
  </si>
  <si>
    <t>Formula</t>
  </si>
  <si>
    <t>Total Price</t>
  </si>
  <si>
    <t>Product Count</t>
  </si>
  <si>
    <t>Average Price</t>
  </si>
  <si>
    <t>Minimum Price</t>
  </si>
  <si>
    <t>Maximum Price</t>
  </si>
  <si>
    <t>Electronics Total Price</t>
  </si>
  <si>
    <t>Products Price &lt; $100</t>
  </si>
  <si>
    <t xml:space="preserve">Observations </t>
  </si>
  <si>
    <t>1)  There are 6 columns in total (Columns A through F), representing the different types of information collected for each item (Product ID, Product Name, Brand Name, Price, Quantity, Category).</t>
  </si>
  <si>
    <t>2)Every single cell from A2 to F35 is completely filled. There are no missing values or blank cells</t>
  </si>
  <si>
    <t xml:space="preserve">3) I made the data range into a Table format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</si>
</sst>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5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F1841-0431-48F9-BFA9-2B2815A38FF5}" name="Table1" displayName="Table1" ref="A1:F35" totalsRowShown="0" headerRowDxfId="0" dataDxfId="1">
  <autoFilter ref="A1:F35" xr:uid="{C0AF1841-0431-48F9-BFA9-2B2815A38FF5}"/>
  <tableColumns count="6">
    <tableColumn id="1" xr3:uid="{35B95288-451A-4085-91B7-1F4A6BF16465}" name="Product ID" dataDxfId="7"/>
    <tableColumn id="2" xr3:uid="{71512B94-2189-483F-8AC4-A76351FA5EAE}" name="Product Name" dataDxfId="6"/>
    <tableColumn id="3" xr3:uid="{4A000209-5793-4E0F-A652-3AEE743694C6}" name="Brand Name" dataDxfId="5"/>
    <tableColumn id="4" xr3:uid="{DE5B3D4F-03BE-452A-8001-095B44697EE6}" name="Price ($)" dataDxfId="4"/>
    <tableColumn id="5" xr3:uid="{E16C5E29-6E48-48AC-AAD4-C64795C94DFA}" name="Quantity" dataDxfId="3"/>
    <tableColumn id="6" xr3:uid="{598AD50C-8B79-447D-8847-8BC360BACC1E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K9" sqref="K9"/>
    </sheetView>
  </sheetViews>
  <sheetFormatPr defaultColWidth="12.6328125" defaultRowHeight="15" customHeight="1" x14ac:dyDescent="0.25"/>
  <cols>
    <col min="2" max="2" width="15" customWidth="1"/>
    <col min="3" max="3" width="13.36328125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ht="15.75" customHeight="1" x14ac:dyDescent="0.25">
      <c r="A2" s="3" t="s">
        <v>10</v>
      </c>
      <c r="B2" s="3" t="s">
        <v>11</v>
      </c>
      <c r="C2" s="3" t="s">
        <v>12</v>
      </c>
      <c r="D2" s="3">
        <v>1000</v>
      </c>
      <c r="E2" s="3">
        <v>30</v>
      </c>
      <c r="F2" s="3" t="s">
        <v>13</v>
      </c>
      <c r="G2" s="3" t="str">
        <f t="shared" ref="G2:G35" si="0">IF(D2&gt;=500,"High Price","Standard Price")</f>
        <v>High Price</v>
      </c>
      <c r="H2" t="str">
        <f t="shared" ref="H2:H35" si="1">LEFT(A2,2)</f>
        <v>28</v>
      </c>
      <c r="I2" t="str">
        <f t="shared" ref="I2:I35" si="2">RIGHT(A2,2)</f>
        <v>US</v>
      </c>
      <c r="J2" t="str">
        <f t="shared" ref="J2:J35" si="3">MID(A2,4,3)</f>
        <v>JAN</v>
      </c>
    </row>
    <row r="3" spans="1:10" ht="15.75" customHeight="1" x14ac:dyDescent="0.25">
      <c r="A3" s="4" t="s">
        <v>14</v>
      </c>
      <c r="B3" s="4" t="s">
        <v>15</v>
      </c>
      <c r="C3" s="4" t="s">
        <v>16</v>
      </c>
      <c r="D3" s="4">
        <v>80</v>
      </c>
      <c r="E3" s="4">
        <v>15</v>
      </c>
      <c r="F3" s="4" t="s">
        <v>17</v>
      </c>
      <c r="G3" s="3" t="str">
        <f t="shared" si="0"/>
        <v>Standard Price</v>
      </c>
      <c r="H3" t="str">
        <f t="shared" si="1"/>
        <v>15</v>
      </c>
      <c r="I3" t="str">
        <f t="shared" si="2"/>
        <v>US</v>
      </c>
      <c r="J3" t="str">
        <f t="shared" si="3"/>
        <v>FEB</v>
      </c>
    </row>
    <row r="4" spans="1:10" ht="15.75" customHeight="1" x14ac:dyDescent="0.25">
      <c r="A4" s="3" t="s">
        <v>18</v>
      </c>
      <c r="B4" s="3" t="s">
        <v>19</v>
      </c>
      <c r="C4" s="3" t="s">
        <v>20</v>
      </c>
      <c r="D4" s="3">
        <v>130</v>
      </c>
      <c r="E4" s="3">
        <v>40</v>
      </c>
      <c r="F4" s="3" t="s">
        <v>21</v>
      </c>
      <c r="G4" s="3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25">
      <c r="A5" s="4" t="s">
        <v>22</v>
      </c>
      <c r="B5" s="4" t="s">
        <v>23</v>
      </c>
      <c r="C5" s="4" t="s">
        <v>24</v>
      </c>
      <c r="D5" s="4">
        <v>900</v>
      </c>
      <c r="E5" s="4">
        <v>25</v>
      </c>
      <c r="F5" s="4" t="s">
        <v>13</v>
      </c>
      <c r="G5" s="3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25">
      <c r="A6" s="3" t="s">
        <v>25</v>
      </c>
      <c r="B6" s="3" t="s">
        <v>26</v>
      </c>
      <c r="C6" s="3" t="s">
        <v>27</v>
      </c>
      <c r="D6" s="3">
        <v>70</v>
      </c>
      <c r="E6" s="3">
        <v>20</v>
      </c>
      <c r="F6" s="3" t="s">
        <v>28</v>
      </c>
      <c r="G6" s="3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25">
      <c r="A7" s="4" t="s">
        <v>29</v>
      </c>
      <c r="B7" s="4" t="s">
        <v>30</v>
      </c>
      <c r="C7" s="4" t="s">
        <v>31</v>
      </c>
      <c r="D7" s="4">
        <v>200</v>
      </c>
      <c r="E7" s="4">
        <v>45</v>
      </c>
      <c r="F7" s="4" t="s">
        <v>13</v>
      </c>
      <c r="G7" s="3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25">
      <c r="A8" s="3" t="s">
        <v>32</v>
      </c>
      <c r="B8" s="3" t="s">
        <v>33</v>
      </c>
      <c r="C8" s="3" t="s">
        <v>34</v>
      </c>
      <c r="D8" s="3">
        <v>30</v>
      </c>
      <c r="E8" s="3">
        <v>5</v>
      </c>
      <c r="F8" s="3" t="s">
        <v>17</v>
      </c>
      <c r="G8" s="3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25">
      <c r="A9" s="4" t="s">
        <v>35</v>
      </c>
      <c r="B9" s="4" t="s">
        <v>36</v>
      </c>
      <c r="C9" s="4" t="s">
        <v>37</v>
      </c>
      <c r="D9" s="4">
        <v>90</v>
      </c>
      <c r="E9" s="4">
        <v>35</v>
      </c>
      <c r="F9" s="4" t="s">
        <v>21</v>
      </c>
      <c r="G9" s="3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25">
      <c r="A10" s="3" t="s">
        <v>38</v>
      </c>
      <c r="B10" s="3" t="s">
        <v>39</v>
      </c>
      <c r="C10" s="3" t="s">
        <v>40</v>
      </c>
      <c r="D10" s="3">
        <v>500</v>
      </c>
      <c r="E10" s="3">
        <v>50</v>
      </c>
      <c r="F10" s="3" t="s">
        <v>13</v>
      </c>
      <c r="G10" s="3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25">
      <c r="A11" s="4" t="s">
        <v>41</v>
      </c>
      <c r="B11" s="4" t="s">
        <v>42</v>
      </c>
      <c r="C11" s="4" t="s">
        <v>43</v>
      </c>
      <c r="D11" s="4">
        <v>130</v>
      </c>
      <c r="E11" s="4">
        <v>10</v>
      </c>
      <c r="F11" s="4" t="s">
        <v>28</v>
      </c>
      <c r="G11" s="3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25">
      <c r="A12" s="3" t="s">
        <v>44</v>
      </c>
      <c r="B12" s="3" t="s">
        <v>11</v>
      </c>
      <c r="C12" s="3" t="s">
        <v>45</v>
      </c>
      <c r="D12" s="3">
        <v>950</v>
      </c>
      <c r="E12" s="3">
        <v>25</v>
      </c>
      <c r="F12" s="3" t="s">
        <v>13</v>
      </c>
      <c r="G12" s="3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25">
      <c r="A13" s="4" t="s">
        <v>46</v>
      </c>
      <c r="B13" s="4" t="s">
        <v>15</v>
      </c>
      <c r="C13" s="4" t="s">
        <v>34</v>
      </c>
      <c r="D13" s="4">
        <v>90</v>
      </c>
      <c r="E13" s="4">
        <v>40</v>
      </c>
      <c r="F13" s="4" t="s">
        <v>17</v>
      </c>
      <c r="G13" s="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25">
      <c r="A14" s="3" t="s">
        <v>47</v>
      </c>
      <c r="B14" s="3" t="s">
        <v>19</v>
      </c>
      <c r="C14" s="3" t="s">
        <v>48</v>
      </c>
      <c r="D14" s="3">
        <v>120</v>
      </c>
      <c r="E14" s="3">
        <v>35</v>
      </c>
      <c r="F14" s="3" t="s">
        <v>21</v>
      </c>
      <c r="G14" s="3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25">
      <c r="A15" s="4" t="s">
        <v>49</v>
      </c>
      <c r="B15" s="4" t="s">
        <v>50</v>
      </c>
      <c r="C15" s="4" t="s">
        <v>51</v>
      </c>
      <c r="D15" s="4">
        <v>150</v>
      </c>
      <c r="E15" s="4">
        <v>15</v>
      </c>
      <c r="F15" s="4" t="s">
        <v>13</v>
      </c>
      <c r="G15" s="3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25">
      <c r="A16" s="3" t="s">
        <v>52</v>
      </c>
      <c r="B16" s="3" t="s">
        <v>30</v>
      </c>
      <c r="C16" s="3" t="s">
        <v>53</v>
      </c>
      <c r="D16" s="3">
        <v>250</v>
      </c>
      <c r="E16" s="3">
        <v>20</v>
      </c>
      <c r="F16" s="3" t="s">
        <v>13</v>
      </c>
      <c r="G16" s="3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25">
      <c r="A17" s="4" t="s">
        <v>54</v>
      </c>
      <c r="B17" s="4" t="s">
        <v>55</v>
      </c>
      <c r="C17" s="4" t="s">
        <v>56</v>
      </c>
      <c r="D17" s="4">
        <v>50</v>
      </c>
      <c r="E17" s="4">
        <v>35</v>
      </c>
      <c r="F17" s="4" t="s">
        <v>57</v>
      </c>
      <c r="G17" s="3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25">
      <c r="A18" s="3" t="s">
        <v>58</v>
      </c>
      <c r="B18" s="3" t="s">
        <v>50</v>
      </c>
      <c r="C18" s="3" t="s">
        <v>59</v>
      </c>
      <c r="D18" s="3">
        <v>160</v>
      </c>
      <c r="E18" s="3">
        <v>15</v>
      </c>
      <c r="F18" s="3" t="s">
        <v>13</v>
      </c>
      <c r="G18" s="3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25">
      <c r="A19" s="4" t="s">
        <v>60</v>
      </c>
      <c r="B19" s="4" t="s">
        <v>11</v>
      </c>
      <c r="C19" s="4" t="s">
        <v>61</v>
      </c>
      <c r="D19" s="4">
        <v>980</v>
      </c>
      <c r="E19" s="4">
        <v>10</v>
      </c>
      <c r="F19" s="4" t="s">
        <v>13</v>
      </c>
      <c r="G19" s="3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25">
      <c r="A20" s="3" t="s">
        <v>62</v>
      </c>
      <c r="B20" s="3" t="s">
        <v>63</v>
      </c>
      <c r="C20" s="3" t="s">
        <v>64</v>
      </c>
      <c r="D20" s="3">
        <v>150</v>
      </c>
      <c r="E20" s="3">
        <v>15</v>
      </c>
      <c r="F20" s="3" t="s">
        <v>17</v>
      </c>
      <c r="G20" s="3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25">
      <c r="A21" s="4" t="s">
        <v>65</v>
      </c>
      <c r="B21" s="4" t="s">
        <v>66</v>
      </c>
      <c r="C21" s="4" t="s">
        <v>67</v>
      </c>
      <c r="D21" s="4">
        <v>200</v>
      </c>
      <c r="E21" s="4">
        <v>10</v>
      </c>
      <c r="F21" s="4" t="s">
        <v>28</v>
      </c>
      <c r="G21" s="3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25">
      <c r="A22" s="3" t="s">
        <v>68</v>
      </c>
      <c r="B22" s="3" t="s">
        <v>69</v>
      </c>
      <c r="C22" s="3" t="s">
        <v>70</v>
      </c>
      <c r="D22" s="3">
        <v>700</v>
      </c>
      <c r="E22" s="3">
        <v>50</v>
      </c>
      <c r="F22" s="3" t="s">
        <v>13</v>
      </c>
      <c r="G22" s="3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25">
      <c r="A23" s="4" t="s">
        <v>71</v>
      </c>
      <c r="B23" s="4" t="s">
        <v>72</v>
      </c>
      <c r="C23" s="4" t="s">
        <v>73</v>
      </c>
      <c r="D23" s="4">
        <v>80</v>
      </c>
      <c r="E23" s="4">
        <v>20</v>
      </c>
      <c r="F23" s="4" t="s">
        <v>21</v>
      </c>
      <c r="G23" s="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25">
      <c r="A24" s="3" t="s">
        <v>74</v>
      </c>
      <c r="B24" s="3" t="s">
        <v>75</v>
      </c>
      <c r="C24" s="3" t="s">
        <v>76</v>
      </c>
      <c r="D24" s="3">
        <v>150</v>
      </c>
      <c r="E24" s="3">
        <v>30</v>
      </c>
      <c r="F24" s="3" t="s">
        <v>13</v>
      </c>
      <c r="G24" s="3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25">
      <c r="A25" s="4" t="s">
        <v>54</v>
      </c>
      <c r="B25" s="4" t="s">
        <v>55</v>
      </c>
      <c r="C25" s="4" t="s">
        <v>56</v>
      </c>
      <c r="D25" s="4">
        <v>50</v>
      </c>
      <c r="E25" s="4">
        <v>35</v>
      </c>
      <c r="F25" s="4" t="s">
        <v>57</v>
      </c>
      <c r="G25" s="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25">
      <c r="A26" s="3" t="s">
        <v>77</v>
      </c>
      <c r="B26" s="3" t="s">
        <v>23</v>
      </c>
      <c r="C26" s="3" t="s">
        <v>78</v>
      </c>
      <c r="D26" s="3">
        <v>800</v>
      </c>
      <c r="E26" s="3">
        <v>45</v>
      </c>
      <c r="F26" s="3" t="s">
        <v>13</v>
      </c>
      <c r="G26" s="3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25">
      <c r="A27" s="4" t="s">
        <v>79</v>
      </c>
      <c r="B27" s="4" t="s">
        <v>63</v>
      </c>
      <c r="C27" s="4" t="s">
        <v>80</v>
      </c>
      <c r="D27" s="4">
        <v>130</v>
      </c>
      <c r="E27" s="4">
        <v>25</v>
      </c>
      <c r="F27" s="4" t="s">
        <v>17</v>
      </c>
      <c r="G27" s="3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25">
      <c r="A28" s="3" t="s">
        <v>81</v>
      </c>
      <c r="B28" s="3" t="s">
        <v>36</v>
      </c>
      <c r="C28" s="3" t="s">
        <v>82</v>
      </c>
      <c r="D28" s="3">
        <v>400</v>
      </c>
      <c r="E28" s="3">
        <v>40</v>
      </c>
      <c r="F28" s="3" t="s">
        <v>21</v>
      </c>
      <c r="G28" s="3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25">
      <c r="A29" s="4" t="s">
        <v>52</v>
      </c>
      <c r="B29" s="4" t="s">
        <v>30</v>
      </c>
      <c r="C29" s="4" t="s">
        <v>53</v>
      </c>
      <c r="D29" s="4">
        <v>230</v>
      </c>
      <c r="E29" s="4">
        <v>20</v>
      </c>
      <c r="F29" s="4" t="s">
        <v>13</v>
      </c>
      <c r="G29" s="5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25">
      <c r="A30" s="3" t="s">
        <v>83</v>
      </c>
      <c r="B30" s="3" t="s">
        <v>84</v>
      </c>
      <c r="C30" s="3" t="s">
        <v>85</v>
      </c>
      <c r="D30" s="3">
        <v>60</v>
      </c>
      <c r="E30" s="3">
        <v>30</v>
      </c>
      <c r="F30" s="3" t="s">
        <v>17</v>
      </c>
      <c r="G30" s="3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25">
      <c r="A31" s="4" t="s">
        <v>86</v>
      </c>
      <c r="B31" s="4" t="s">
        <v>87</v>
      </c>
      <c r="C31" s="4" t="s">
        <v>88</v>
      </c>
      <c r="D31" s="4">
        <v>40</v>
      </c>
      <c r="E31" s="4">
        <v>10</v>
      </c>
      <c r="F31" s="4" t="s">
        <v>21</v>
      </c>
      <c r="G31" s="3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25">
      <c r="A32" s="3" t="s">
        <v>89</v>
      </c>
      <c r="B32" s="3" t="s">
        <v>75</v>
      </c>
      <c r="C32" s="3" t="s">
        <v>90</v>
      </c>
      <c r="D32" s="3">
        <v>130</v>
      </c>
      <c r="E32" s="3">
        <v>5</v>
      </c>
      <c r="F32" s="3" t="s">
        <v>13</v>
      </c>
      <c r="G32" s="3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4" t="s">
        <v>91</v>
      </c>
      <c r="B33" s="4" t="s">
        <v>92</v>
      </c>
      <c r="C33" s="4" t="s">
        <v>93</v>
      </c>
      <c r="D33" s="4">
        <v>50</v>
      </c>
      <c r="E33" s="4">
        <v>50</v>
      </c>
      <c r="F33" s="4" t="s">
        <v>17</v>
      </c>
      <c r="G33" s="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3" t="s">
        <v>44</v>
      </c>
      <c r="B34" s="3" t="s">
        <v>11</v>
      </c>
      <c r="C34" s="3" t="s">
        <v>45</v>
      </c>
      <c r="D34" s="3">
        <v>950</v>
      </c>
      <c r="E34" s="3">
        <v>25</v>
      </c>
      <c r="F34" s="3" t="s">
        <v>13</v>
      </c>
      <c r="G34" s="3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4" t="s">
        <v>94</v>
      </c>
      <c r="B35" s="4" t="s">
        <v>95</v>
      </c>
      <c r="C35" s="4" t="s">
        <v>96</v>
      </c>
      <c r="D35" s="4">
        <v>100</v>
      </c>
      <c r="E35" s="4">
        <v>20</v>
      </c>
      <c r="F35" s="4" t="s">
        <v>57</v>
      </c>
      <c r="G35" s="3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D4" sqref="D4"/>
    </sheetView>
  </sheetViews>
  <sheetFormatPr defaultRowHeight="12.5" x14ac:dyDescent="0.25"/>
  <cols>
    <col min="1" max="1" width="18.90625" bestFit="1" customWidth="1"/>
  </cols>
  <sheetData>
    <row r="1" spans="1:2" ht="13" x14ac:dyDescent="0.3">
      <c r="A1" s="6" t="s">
        <v>97</v>
      </c>
      <c r="B1" s="6" t="s">
        <v>98</v>
      </c>
    </row>
    <row r="2" spans="1:2" x14ac:dyDescent="0.25">
      <c r="A2" t="s">
        <v>99</v>
      </c>
      <c r="B2">
        <f>SUM(Dataset!D2:D35)</f>
        <v>10100</v>
      </c>
    </row>
    <row r="3" spans="1:2" x14ac:dyDescent="0.25">
      <c r="A3" t="s">
        <v>100</v>
      </c>
      <c r="B3">
        <f>COUNT(Dataset!A2:A35)</f>
        <v>0</v>
      </c>
    </row>
    <row r="4" spans="1:2" x14ac:dyDescent="0.25">
      <c r="A4" t="s">
        <v>101</v>
      </c>
      <c r="B4">
        <f>AVERAGE(Dataset!D2:D35)</f>
        <v>297.05882352941177</v>
      </c>
    </row>
    <row r="5" spans="1:2" x14ac:dyDescent="0.25">
      <c r="A5" t="s">
        <v>102</v>
      </c>
      <c r="B5">
        <f>MIN(Dataset!D2:D35)</f>
        <v>30</v>
      </c>
    </row>
    <row r="6" spans="1:2" x14ac:dyDescent="0.25">
      <c r="A6" t="s">
        <v>103</v>
      </c>
      <c r="B6">
        <f>MAX(Dataset!D2:D35)</f>
        <v>1000</v>
      </c>
    </row>
    <row r="7" spans="1:2" x14ac:dyDescent="0.25">
      <c r="A7" t="s">
        <v>104</v>
      </c>
      <c r="B7">
        <f>SUMIF(Dataset!F2:F35,"Electronics",Dataset!D2:D35)</f>
        <v>8050</v>
      </c>
    </row>
    <row r="8" spans="1:2" x14ac:dyDescent="0.25">
      <c r="A8" t="s">
        <v>105</v>
      </c>
      <c r="B8">
        <f>COUNTIF(Dataset!D2:D35,"&lt;100")</f>
        <v>11</v>
      </c>
    </row>
    <row r="10" spans="1:2" x14ac:dyDescent="0.25">
      <c r="A10" t="s">
        <v>106</v>
      </c>
    </row>
    <row r="11" spans="1:2" x14ac:dyDescent="0.25">
      <c r="A11" t="s">
        <v>107</v>
      </c>
    </row>
    <row r="12" spans="1:2" x14ac:dyDescent="0.25">
      <c r="A12" t="s">
        <v>108</v>
      </c>
    </row>
    <row r="13" spans="1:2" x14ac:dyDescent="0.25">
      <c r="A1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 Calculations and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Dhivakar V</cp:lastModifiedBy>
  <dcterms:created xsi:type="dcterms:W3CDTF">2026-06-20T22:09:45Z</dcterms:created>
  <dcterms:modified xsi:type="dcterms:W3CDTF">2026-06-20T22:35:38Z</dcterms:modified>
</cp:coreProperties>
</file>