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ssignments\Assignment 2\"/>
    </mc:Choice>
  </mc:AlternateContent>
  <xr:revisionPtr revIDLastSave="0" documentId="13_ncr:1_{8D5980DB-1E5B-4C86-BF52-4037BBF3AC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Observations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</calcChain>
</file>

<file path=xl/sharedStrings.xml><?xml version="1.0" encoding="utf-8"?>
<sst xmlns="http://schemas.openxmlformats.org/spreadsheetml/2006/main" count="158" uniqueCount="117">
  <si>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</si>
  <si>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</si>
  <si>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</si>
  <si>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</si>
  <si>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</si>
  <si>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</si>
  <si>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</si>
  <si>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</si>
  <si>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</si>
  <si>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</si>
  <si>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</si>
  <si>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</si>
  <si>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</si>
  <si>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</si>
  <si>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</si>
  <si>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</si>
  <si>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</si>
  <si>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</si>
  <si>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</si>
  <si>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</si>
  <si>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</si>
  <si>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</si>
  <si>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</si>
  <si>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</si>
  <si>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</si>
  <si>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</si>
  <si>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</si>
  <si>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</si>
  <si>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</si>
  <si>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</si>
  <si>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</si>
  <si>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</si>
  <si>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</si>
  <si>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</si>
  <si>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</si>
  <si>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</si>
  <si>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</si>
  <si>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</si>
  <si>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</si>
  <si>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</si>
  <si>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</si>
  <si>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</si>
  <si>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</si>
  <si>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</si>
  <si>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</si>
  <si>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</si>
  <si>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</si>
  <si>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</si>
  <si>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</si>
  <si>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</si>
  <si>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</si>
  <si>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</si>
  <si>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</si>
  <si>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</si>
  <si>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</si>
  <si>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</si>
  <si>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</si>
  <si>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</si>
  <si>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</si>
  <si>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</si>
  <si>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</si>
  <si>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</si>
  <si>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</si>
  <si>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</si>
  <si>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</si>
  <si>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</si>
  <si>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</si>
  <si>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</si>
  <si>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</si>
  <si>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</si>
  <si>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</si>
  <si>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</si>
  <si>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</si>
  <si>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</si>
  <si>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</si>
  <si>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</si>
  <si>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</si>
  <si>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</si>
  <si>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</si>
  <si>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</si>
  <si>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</si>
  <si>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</si>
  <si>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</si>
  <si>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</si>
  <si>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</si>
  <si>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</si>
  <si>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</si>
  <si>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</si>
  <si>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</si>
  <si>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</si>
  <si>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</si>
  <si>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</si>
  <si>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</si>
  <si>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</si>
  <si>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</si>
  <si>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</si>
  <si>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</t>
  </si>
  <si>
    <t>Details</t>
  </si>
  <si>
    <t>Missing Values</t>
  </si>
  <si>
    <t>Missing price values were identified and handled by replacing them with a suitable average value. Missing categories can be handled by using existing category patterns or assigning 'Unknown'.</t>
  </si>
  <si>
    <t>Data Cleaning</t>
  </si>
  <si>
    <t>Product names were standardized by removing extra spaces and applying consistent text formatting.</t>
  </si>
  <si>
    <t>Category Correction</t>
  </si>
  <si>
    <t>Category values were reviewed and standardized to maintain consistency.</t>
  </si>
  <si>
    <t>Duplicate Removal</t>
  </si>
  <si>
    <t>Duplicate records based on complete row values were identified and removed from the dataset.</t>
  </si>
  <si>
    <t>Product ID Split</t>
  </si>
  <si>
    <t>Product ID was separated into Manufacturing Date and Country Code for better data organization.</t>
  </si>
  <si>
    <t>Product Brand Creation</t>
  </si>
  <si>
    <t>Brand Name and Product Name columns were combined into a new column called Product Brand.</t>
  </si>
  <si>
    <t>Number Formatting</t>
  </si>
  <si>
    <t>Price column was formatted as currency and Manufacturing Date was formatted as DD-MM-YYYY.</t>
  </si>
  <si>
    <t>Conditional Formatting</t>
  </si>
  <si>
    <t>Price column contains data bar formatting to compare values visually, and Electronics category cells are highlighted.</t>
  </si>
  <si>
    <t>Overall Insight</t>
  </si>
  <si>
    <t>The dataset was cleaned and structured to improve readability, consistency, and further analysis.</t>
  </si>
  <si>
    <t>Quantity2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</si>
</sst>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dd\-mm\-yyyy"/>
  </numFmts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numFmt numFmtId="165" formatCode="dd\-mm\-yyyy"/>
    </dxf>
    <dxf>
      <numFmt numFmtId="164" formatCode="\$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23AE7-30AF-46E7-BFEB-6F0A57E82119}" name="Table1" displayName="Table1" ref="A1:J33" totalsRowShown="0">
  <autoFilter ref="A1:J33" xr:uid="{07723AE7-30AF-46E7-BFEB-6F0A57E82119}"/>
  <tableColumns count="10">
    <tableColumn id="1" xr3:uid="{28F01840-0EF3-45BF-AF88-82D65405A31B}" name="Product ID"/>
    <tableColumn id="2" xr3:uid="{317C5213-3D4A-46EE-B5F5-E72A643DCDAE}" name="Product Name"/>
    <tableColumn id="3" xr3:uid="{5A1F965E-8BDA-4ED4-8533-51F22710AD29}" name="Brand Name"/>
    <tableColumn id="4" xr3:uid="{35DBE85F-4CF2-4702-9FEA-52A0B0FCDC5B}" name="Price ($)" dataDxfId="3"/>
    <tableColumn id="5" xr3:uid="{9264C078-C246-46BC-9EAA-E9C881E61CA2}" name="Quantity"/>
    <tableColumn id="6" xr3:uid="{DCEE78B4-4096-43CC-8E09-87F5F2E7466D}" name="Category"/>
    <tableColumn id="7" xr3:uid="{08281959-CEEC-4334-A82E-7F4D914A54DE}" name="Manufacturing Date" dataDxfId="2"/>
    <tableColumn id="8" xr3:uid="{DC79C10B-4DA1-4C2D-A74E-6F9B38F88478}" name="Country Code">
      <calculatedColumnFormula>RIGHT(A2,2)</calculatedColumnFormula>
    </tableColumn>
    <tableColumn id="9" xr3:uid="{86B26940-4468-45D6-A8CB-1A95A3D9626A}" name="Product Brand">
      <calculatedColumnFormula>CONCATENATE(C2," ",B2)</calculatedColumnFormula>
    </tableColumn>
    <tableColumn id="10" xr3:uid="{257BBA7C-C957-4829-867C-FF2E40EFC37D}" name="Quantity2">
      <calculatedColumnFormula>IF(E2="",AVERAGE($E$2:$E$33),E2)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topLeftCell="B1" workbookViewId="0">
      <selection activeCell="I25" sqref="I25"/>
    </sheetView>
  </sheetViews>
  <sheetFormatPr defaultColWidth="12.6328125" defaultRowHeight="15" customHeight="1" x14ac:dyDescent="0.25"/>
  <cols>
    <col min="1" max="6" width="18" customWidth="1"/>
    <col min="7" max="7" width="19.7265625" customWidth="1"/>
    <col min="8" max="8" width="18" customWidth="1"/>
    <col min="9" max="9" width="21.1796875" bestFit="1" customWidth="1"/>
  </cols>
  <sheetData>
    <row r="1" spans="1:10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116</v>
      </c>
    </row>
    <row r="2" spans="1:10" ht="15.75" customHeight="1" x14ac:dyDescent="0.25">
      <c r="A2" t="s">
        <v>9</v>
      </c>
      <c r="B2" t="s">
        <v>10</v>
      </c>
      <c r="C2" t="s">
        <v>11</v>
      </c>
      <c r="D2" s="1">
        <v>1000</v>
      </c>
      <c r="E2">
        <v>30</v>
      </c>
      <c r="F2" t="s">
        <v>12</v>
      </c>
      <c r="G2" s="2">
        <v>46050</v>
      </c>
      <c r="H2" t="str">
        <f>RIGHT(A2,2)</f>
        <v>US</v>
      </c>
      <c r="I2" t="str">
        <f>CONCATENATE(C2," ",B2)</f>
        <v>Dell Laptop</v>
      </c>
      <c r="J2">
        <f>IF(E2="",AVERAGE($E$2:$E$33),E2)</f>
        <v>30</v>
      </c>
    </row>
    <row r="3" spans="1:10" ht="15.75" customHeight="1" x14ac:dyDescent="0.25">
      <c r="A3" t="s">
        <v>13</v>
      </c>
      <c r="B3" t="s">
        <v>14</v>
      </c>
      <c r="C3" t="s">
        <v>15</v>
      </c>
      <c r="D3" s="1">
        <v>80</v>
      </c>
      <c r="E3">
        <v>15</v>
      </c>
      <c r="F3" t="s">
        <v>16</v>
      </c>
      <c r="G3" s="2">
        <v>46068</v>
      </c>
      <c r="H3" t="str">
        <f t="shared" ref="H3:H33" si="0">RIGHT(A3,2)</f>
        <v>US</v>
      </c>
      <c r="I3" t="str">
        <f t="shared" ref="I3:I33" si="1">CONCATENATE(C3," ",B3)</f>
        <v>Nike Sneakers</v>
      </c>
      <c r="J3">
        <f t="shared" ref="J3:J33" si="2">IF(E3="",AVERAGE($E$2:$E$33),E3)</f>
        <v>15</v>
      </c>
    </row>
    <row r="4" spans="1:10" ht="15.75" customHeight="1" x14ac:dyDescent="0.25">
      <c r="A4" t="s">
        <v>17</v>
      </c>
      <c r="B4" t="s">
        <v>18</v>
      </c>
      <c r="C4" t="s">
        <v>19</v>
      </c>
      <c r="D4" s="1">
        <v>130</v>
      </c>
      <c r="E4">
        <v>40</v>
      </c>
      <c r="F4" t="s">
        <v>20</v>
      </c>
      <c r="G4" s="2">
        <v>46084</v>
      </c>
      <c r="H4" t="str">
        <f t="shared" si="0"/>
        <v>US</v>
      </c>
      <c r="I4" t="str">
        <f t="shared" si="1"/>
        <v>Keurig Coffee Maker</v>
      </c>
      <c r="J4">
        <f t="shared" si="2"/>
        <v>40</v>
      </c>
    </row>
    <row r="5" spans="1:10" ht="15.75" customHeight="1" x14ac:dyDescent="0.25">
      <c r="A5" t="s">
        <v>21</v>
      </c>
      <c r="B5" t="s">
        <v>22</v>
      </c>
      <c r="C5" t="s">
        <v>23</v>
      </c>
      <c r="D5" s="1">
        <v>900</v>
      </c>
      <c r="E5">
        <v>25</v>
      </c>
      <c r="F5" t="s">
        <v>12</v>
      </c>
      <c r="G5" s="2">
        <v>46123</v>
      </c>
      <c r="H5" t="str">
        <f t="shared" si="0"/>
        <v>US</v>
      </c>
      <c r="I5" t="str">
        <f t="shared" si="1"/>
        <v>Samsung Smartphone</v>
      </c>
      <c r="J5">
        <f t="shared" si="2"/>
        <v>25</v>
      </c>
    </row>
    <row r="6" spans="1:10" ht="15.75" customHeight="1" x14ac:dyDescent="0.25">
      <c r="A6" t="s">
        <v>24</v>
      </c>
      <c r="B6" t="s">
        <v>25</v>
      </c>
      <c r="C6" t="s">
        <v>26</v>
      </c>
      <c r="D6" s="1">
        <v>70</v>
      </c>
      <c r="E6">
        <v>20</v>
      </c>
      <c r="F6" t="s">
        <v>27</v>
      </c>
      <c r="G6" s="2">
        <v>46164</v>
      </c>
      <c r="H6" t="str">
        <f t="shared" si="0"/>
        <v>US</v>
      </c>
      <c r="I6" t="str">
        <f t="shared" si="1"/>
        <v>North Face Backpack</v>
      </c>
      <c r="J6">
        <f t="shared" si="2"/>
        <v>20</v>
      </c>
    </row>
    <row r="7" spans="1:10" ht="15.75" customHeight="1" x14ac:dyDescent="0.25">
      <c r="A7" t="s">
        <v>28</v>
      </c>
      <c r="B7" t="s">
        <v>29</v>
      </c>
      <c r="C7" t="s">
        <v>30</v>
      </c>
      <c r="D7" s="1">
        <v>200</v>
      </c>
      <c r="E7">
        <v>45</v>
      </c>
      <c r="F7" t="s">
        <v>12</v>
      </c>
      <c r="G7" s="2">
        <v>46180</v>
      </c>
      <c r="H7" t="str">
        <f t="shared" si="0"/>
        <v>UK</v>
      </c>
      <c r="I7" t="str">
        <f t="shared" si="1"/>
        <v>Sony Headphones</v>
      </c>
      <c r="J7">
        <f t="shared" si="2"/>
        <v>45</v>
      </c>
    </row>
    <row r="8" spans="1:10" ht="15.75" customHeight="1" x14ac:dyDescent="0.25">
      <c r="A8" t="s">
        <v>31</v>
      </c>
      <c r="B8" t="s">
        <v>32</v>
      </c>
      <c r="C8" t="s">
        <v>33</v>
      </c>
      <c r="D8" s="1">
        <v>30</v>
      </c>
      <c r="E8">
        <v>5</v>
      </c>
      <c r="F8" t="s">
        <v>16</v>
      </c>
      <c r="G8" s="2">
        <v>46222</v>
      </c>
      <c r="H8" t="str">
        <f t="shared" si="0"/>
        <v>UK</v>
      </c>
      <c r="I8" t="str">
        <f t="shared" si="1"/>
        <v>Adidas T-Shirt</v>
      </c>
      <c r="J8">
        <f t="shared" si="2"/>
        <v>5</v>
      </c>
    </row>
    <row r="9" spans="1:10" ht="15.75" customHeight="1" x14ac:dyDescent="0.25">
      <c r="A9" t="s">
        <v>34</v>
      </c>
      <c r="B9" t="s">
        <v>35</v>
      </c>
      <c r="C9" t="s">
        <v>36</v>
      </c>
      <c r="D9" s="1">
        <v>90</v>
      </c>
      <c r="F9" t="s">
        <v>20</v>
      </c>
      <c r="G9" s="2">
        <v>46257</v>
      </c>
      <c r="H9" t="str">
        <f t="shared" si="0"/>
        <v>UK</v>
      </c>
      <c r="I9" t="str">
        <f t="shared" si="1"/>
        <v>Ninja Blender</v>
      </c>
      <c r="J9" s="4">
        <f t="shared" si="2"/>
        <v>25.178571428571427</v>
      </c>
    </row>
    <row r="10" spans="1:10" ht="15.75" customHeight="1" x14ac:dyDescent="0.25">
      <c r="A10" t="s">
        <v>37</v>
      </c>
      <c r="B10" t="s">
        <v>38</v>
      </c>
      <c r="C10" t="s">
        <v>39</v>
      </c>
      <c r="D10" s="1">
        <v>500</v>
      </c>
      <c r="E10">
        <v>50</v>
      </c>
      <c r="F10" t="s">
        <v>12</v>
      </c>
      <c r="G10" s="2">
        <v>46270</v>
      </c>
      <c r="H10" t="str">
        <f t="shared" si="0"/>
        <v>UK</v>
      </c>
      <c r="I10" t="str">
        <f t="shared" si="1"/>
        <v>Apple Tablet</v>
      </c>
      <c r="J10">
        <f t="shared" si="2"/>
        <v>50</v>
      </c>
    </row>
    <row r="11" spans="1:10" ht="15.75" customHeight="1" x14ac:dyDescent="0.25">
      <c r="A11" t="s">
        <v>40</v>
      </c>
      <c r="B11" t="s">
        <v>41</v>
      </c>
      <c r="C11" t="s">
        <v>42</v>
      </c>
      <c r="D11" s="1">
        <v>130</v>
      </c>
      <c r="E11">
        <v>10</v>
      </c>
      <c r="F11" t="s">
        <v>27</v>
      </c>
      <c r="G11" s="2">
        <v>46309</v>
      </c>
      <c r="H11" t="str">
        <f t="shared" si="0"/>
        <v>UK</v>
      </c>
      <c r="I11" t="str">
        <f t="shared" si="1"/>
        <v>Timberland Hiking Boots</v>
      </c>
      <c r="J11">
        <f t="shared" si="2"/>
        <v>10</v>
      </c>
    </row>
    <row r="12" spans="1:10" ht="15.75" customHeight="1" x14ac:dyDescent="0.25">
      <c r="A12" t="s">
        <v>43</v>
      </c>
      <c r="B12" t="s">
        <v>10</v>
      </c>
      <c r="C12" t="s">
        <v>44</v>
      </c>
      <c r="D12" s="1">
        <v>950</v>
      </c>
      <c r="E12">
        <v>25</v>
      </c>
      <c r="F12" t="s">
        <v>12</v>
      </c>
      <c r="G12" s="2">
        <v>46190</v>
      </c>
      <c r="H12" t="str">
        <f t="shared" si="0"/>
        <v>IN</v>
      </c>
      <c r="I12" t="str">
        <f t="shared" si="1"/>
        <v>HP Laptop</v>
      </c>
      <c r="J12">
        <f t="shared" si="2"/>
        <v>25</v>
      </c>
    </row>
    <row r="13" spans="1:10" ht="15.75" customHeight="1" x14ac:dyDescent="0.25">
      <c r="A13" t="s">
        <v>45</v>
      </c>
      <c r="B13" t="s">
        <v>14</v>
      </c>
      <c r="C13" t="s">
        <v>33</v>
      </c>
      <c r="D13" s="1">
        <v>90</v>
      </c>
      <c r="E13">
        <v>40</v>
      </c>
      <c r="F13" t="s">
        <v>16</v>
      </c>
      <c r="G13" s="2">
        <v>46351</v>
      </c>
      <c r="H13" t="str">
        <f t="shared" si="0"/>
        <v>AU</v>
      </c>
      <c r="I13" t="str">
        <f t="shared" si="1"/>
        <v>Adidas Sneakers</v>
      </c>
      <c r="J13">
        <f t="shared" si="2"/>
        <v>40</v>
      </c>
    </row>
    <row r="14" spans="1:10" ht="15.75" customHeight="1" x14ac:dyDescent="0.25">
      <c r="A14" t="s">
        <v>46</v>
      </c>
      <c r="B14" t="s">
        <v>18</v>
      </c>
      <c r="C14" t="s">
        <v>47</v>
      </c>
      <c r="D14" s="1">
        <v>120</v>
      </c>
      <c r="F14" t="s">
        <v>20</v>
      </c>
      <c r="G14" s="2">
        <v>46364</v>
      </c>
      <c r="H14" t="str">
        <f t="shared" si="0"/>
        <v>DE</v>
      </c>
      <c r="I14" t="str">
        <f t="shared" si="1"/>
        <v>Nespresso Coffee Maker</v>
      </c>
      <c r="J14" s="4">
        <f t="shared" si="2"/>
        <v>25.178571428571427</v>
      </c>
    </row>
    <row r="15" spans="1:10" ht="15.75" customHeight="1" x14ac:dyDescent="0.25">
      <c r="A15" t="s">
        <v>48</v>
      </c>
      <c r="B15" t="s">
        <v>49</v>
      </c>
      <c r="C15" t="s">
        <v>50</v>
      </c>
      <c r="D15" s="1">
        <v>150</v>
      </c>
      <c r="E15">
        <v>15</v>
      </c>
      <c r="F15" t="s">
        <v>12</v>
      </c>
      <c r="G15" s="2">
        <v>46071</v>
      </c>
      <c r="H15" t="str">
        <f t="shared" si="0"/>
        <v>CA</v>
      </c>
      <c r="I15" t="str">
        <f t="shared" si="1"/>
        <v>Fitbit Smartwatch</v>
      </c>
      <c r="J15">
        <f t="shared" si="2"/>
        <v>15</v>
      </c>
    </row>
    <row r="16" spans="1:10" ht="15.75" customHeight="1" x14ac:dyDescent="0.25">
      <c r="A16" t="s">
        <v>51</v>
      </c>
      <c r="B16" t="s">
        <v>29</v>
      </c>
      <c r="C16" t="s">
        <v>52</v>
      </c>
      <c r="D16" s="1">
        <v>240</v>
      </c>
      <c r="E16">
        <v>20</v>
      </c>
      <c r="F16" t="s">
        <v>12</v>
      </c>
      <c r="G16" s="2">
        <v>46128</v>
      </c>
      <c r="H16" t="str">
        <f t="shared" si="0"/>
        <v>ES</v>
      </c>
      <c r="I16" t="str">
        <f t="shared" si="1"/>
        <v>Bose Headphones</v>
      </c>
      <c r="J16">
        <f t="shared" si="2"/>
        <v>20</v>
      </c>
    </row>
    <row r="17" spans="1:10" ht="15.75" customHeight="1" x14ac:dyDescent="0.25">
      <c r="A17" t="s">
        <v>53</v>
      </c>
      <c r="B17" t="s">
        <v>54</v>
      </c>
      <c r="C17" t="s">
        <v>55</v>
      </c>
      <c r="D17" s="1">
        <v>50</v>
      </c>
      <c r="E17">
        <v>35</v>
      </c>
      <c r="F17" t="s">
        <v>56</v>
      </c>
      <c r="G17" s="2">
        <v>46255</v>
      </c>
      <c r="H17" t="str">
        <f t="shared" si="0"/>
        <v>CA</v>
      </c>
      <c r="I17" t="str">
        <f t="shared" si="1"/>
        <v>Samsonite Laptop Bag</v>
      </c>
      <c r="J17">
        <f t="shared" si="2"/>
        <v>35</v>
      </c>
    </row>
    <row r="18" spans="1:10" ht="15.75" customHeight="1" x14ac:dyDescent="0.25">
      <c r="A18" t="s">
        <v>57</v>
      </c>
      <c r="B18" t="s">
        <v>49</v>
      </c>
      <c r="C18" t="s">
        <v>58</v>
      </c>
      <c r="D18" s="1">
        <v>160</v>
      </c>
      <c r="F18" t="s">
        <v>12</v>
      </c>
      <c r="G18" s="2">
        <v>46254</v>
      </c>
      <c r="H18" t="str">
        <f t="shared" si="0"/>
        <v>CN</v>
      </c>
      <c r="I18" t="str">
        <f t="shared" si="1"/>
        <v>Huawei Smartwatch</v>
      </c>
      <c r="J18" s="4">
        <f t="shared" si="2"/>
        <v>25.178571428571427</v>
      </c>
    </row>
    <row r="19" spans="1:10" ht="15.75" customHeight="1" x14ac:dyDescent="0.25">
      <c r="A19" t="s">
        <v>59</v>
      </c>
      <c r="B19" t="s">
        <v>10</v>
      </c>
      <c r="C19" t="s">
        <v>60</v>
      </c>
      <c r="D19" s="1">
        <v>980</v>
      </c>
      <c r="E19">
        <v>10</v>
      </c>
      <c r="F19" t="s">
        <v>12</v>
      </c>
      <c r="G19" s="2">
        <v>46049</v>
      </c>
      <c r="H19" t="str">
        <f t="shared" si="0"/>
        <v>IT</v>
      </c>
      <c r="I19" t="str">
        <f t="shared" si="1"/>
        <v>Asus Laptop</v>
      </c>
      <c r="J19">
        <f t="shared" si="2"/>
        <v>10</v>
      </c>
    </row>
    <row r="20" spans="1:10" ht="15.75" customHeight="1" x14ac:dyDescent="0.25">
      <c r="A20" t="s">
        <v>61</v>
      </c>
      <c r="B20" t="s">
        <v>62</v>
      </c>
      <c r="C20" t="s">
        <v>63</v>
      </c>
      <c r="D20" s="1">
        <v>150</v>
      </c>
      <c r="E20">
        <v>15</v>
      </c>
      <c r="F20" t="s">
        <v>16</v>
      </c>
      <c r="G20" s="2">
        <v>46082</v>
      </c>
      <c r="H20" t="str">
        <f t="shared" si="0"/>
        <v>UK</v>
      </c>
      <c r="I20" t="str">
        <f t="shared" si="1"/>
        <v>Oakley Sunglasses</v>
      </c>
      <c r="J20">
        <f t="shared" si="2"/>
        <v>15</v>
      </c>
    </row>
    <row r="21" spans="1:10" ht="15.75" customHeight="1" x14ac:dyDescent="0.25">
      <c r="A21" t="s">
        <v>64</v>
      </c>
      <c r="B21" t="s">
        <v>65</v>
      </c>
      <c r="C21" t="s">
        <v>66</v>
      </c>
      <c r="D21" s="1">
        <v>200</v>
      </c>
      <c r="E21">
        <v>10</v>
      </c>
      <c r="F21" t="s">
        <v>27</v>
      </c>
      <c r="G21" s="2">
        <v>46248</v>
      </c>
      <c r="H21" t="str">
        <f t="shared" si="0"/>
        <v>US</v>
      </c>
      <c r="I21" t="str">
        <f t="shared" si="1"/>
        <v>Coleman Camping Tent</v>
      </c>
      <c r="J21">
        <f t="shared" si="2"/>
        <v>10</v>
      </c>
    </row>
    <row r="22" spans="1:10" ht="15.75" customHeight="1" x14ac:dyDescent="0.25">
      <c r="A22" t="s">
        <v>67</v>
      </c>
      <c r="B22" t="s">
        <v>68</v>
      </c>
      <c r="C22" t="s">
        <v>69</v>
      </c>
      <c r="D22" s="1">
        <v>700</v>
      </c>
      <c r="F22" t="s">
        <v>12</v>
      </c>
      <c r="G22" s="2">
        <v>46156</v>
      </c>
      <c r="H22" t="str">
        <f t="shared" si="0"/>
        <v>RU</v>
      </c>
      <c r="I22" t="str">
        <f t="shared" si="1"/>
        <v>Nikon Camera</v>
      </c>
      <c r="J22" s="4">
        <f t="shared" si="2"/>
        <v>25.178571428571427</v>
      </c>
    </row>
    <row r="23" spans="1:10" ht="15.75" customHeight="1" x14ac:dyDescent="0.25">
      <c r="A23" t="s">
        <v>70</v>
      </c>
      <c r="B23" t="s">
        <v>71</v>
      </c>
      <c r="C23" t="s">
        <v>72</v>
      </c>
      <c r="D23" s="1">
        <v>80</v>
      </c>
      <c r="E23">
        <v>20</v>
      </c>
      <c r="F23" t="s">
        <v>20</v>
      </c>
      <c r="G23" s="2">
        <v>46031</v>
      </c>
      <c r="H23" t="str">
        <f t="shared" si="0"/>
        <v>CA</v>
      </c>
      <c r="I23" t="str">
        <f t="shared" si="1"/>
        <v>Panasonic Microwave</v>
      </c>
      <c r="J23">
        <f t="shared" si="2"/>
        <v>20</v>
      </c>
    </row>
    <row r="24" spans="1:10" ht="15.75" customHeight="1" x14ac:dyDescent="0.25">
      <c r="A24" t="s">
        <v>73</v>
      </c>
      <c r="B24" t="s">
        <v>74</v>
      </c>
      <c r="C24" t="s">
        <v>75</v>
      </c>
      <c r="D24" s="1">
        <v>150</v>
      </c>
      <c r="E24">
        <v>30</v>
      </c>
      <c r="F24" t="s">
        <v>12</v>
      </c>
      <c r="G24" s="2">
        <v>46222</v>
      </c>
      <c r="H24" t="str">
        <f t="shared" si="0"/>
        <v>BR</v>
      </c>
      <c r="I24" t="str">
        <f t="shared" si="1"/>
        <v>Xiaomi Fitness Tracker</v>
      </c>
      <c r="J24">
        <f t="shared" si="2"/>
        <v>30</v>
      </c>
    </row>
    <row r="25" spans="1:10" ht="15.75" customHeight="1" x14ac:dyDescent="0.25">
      <c r="A25" t="s">
        <v>76</v>
      </c>
      <c r="B25" t="s">
        <v>22</v>
      </c>
      <c r="C25" t="s">
        <v>77</v>
      </c>
      <c r="D25" s="1">
        <v>800</v>
      </c>
      <c r="E25">
        <v>45</v>
      </c>
      <c r="F25" t="s">
        <v>12</v>
      </c>
      <c r="G25" s="2">
        <v>46294</v>
      </c>
      <c r="H25" t="str">
        <f t="shared" si="0"/>
        <v>CA</v>
      </c>
      <c r="I25" t="str">
        <f t="shared" si="1"/>
        <v>Google Smartphone</v>
      </c>
      <c r="J25">
        <f t="shared" si="2"/>
        <v>45</v>
      </c>
    </row>
    <row r="26" spans="1:10" ht="15.75" customHeight="1" x14ac:dyDescent="0.25">
      <c r="A26" t="s">
        <v>78</v>
      </c>
      <c r="B26" t="s">
        <v>62</v>
      </c>
      <c r="C26" t="s">
        <v>79</v>
      </c>
      <c r="D26" s="1">
        <v>130</v>
      </c>
      <c r="E26">
        <v>25</v>
      </c>
      <c r="F26" t="s">
        <v>16</v>
      </c>
      <c r="G26" s="2">
        <v>46176</v>
      </c>
      <c r="H26" t="str">
        <f t="shared" si="0"/>
        <v>CA</v>
      </c>
      <c r="I26" t="str">
        <f t="shared" si="1"/>
        <v>Ray-Ban Sunglasses</v>
      </c>
      <c r="J26">
        <f t="shared" si="2"/>
        <v>25</v>
      </c>
    </row>
    <row r="27" spans="1:10" ht="15.75" customHeight="1" x14ac:dyDescent="0.25">
      <c r="A27" t="s">
        <v>80</v>
      </c>
      <c r="B27" t="s">
        <v>35</v>
      </c>
      <c r="C27" t="s">
        <v>81</v>
      </c>
      <c r="D27" s="1">
        <v>400</v>
      </c>
      <c r="E27">
        <v>40</v>
      </c>
      <c r="F27" t="s">
        <v>20</v>
      </c>
      <c r="G27" s="2">
        <v>46214</v>
      </c>
      <c r="H27" t="str">
        <f t="shared" si="0"/>
        <v>CA</v>
      </c>
      <c r="I27" t="str">
        <f t="shared" si="1"/>
        <v>Vitamix Blender</v>
      </c>
      <c r="J27">
        <f t="shared" si="2"/>
        <v>40</v>
      </c>
    </row>
    <row r="28" spans="1:10" ht="15.75" customHeight="1" x14ac:dyDescent="0.25">
      <c r="A28" t="s">
        <v>51</v>
      </c>
      <c r="B28" t="s">
        <v>29</v>
      </c>
      <c r="C28" t="s">
        <v>52</v>
      </c>
      <c r="D28" s="1">
        <v>230</v>
      </c>
      <c r="E28">
        <v>20</v>
      </c>
      <c r="F28" t="s">
        <v>12</v>
      </c>
      <c r="G28" s="2">
        <v>46128</v>
      </c>
      <c r="H28" t="str">
        <f t="shared" si="0"/>
        <v>ES</v>
      </c>
      <c r="I28" t="str">
        <f t="shared" si="1"/>
        <v>Bose Headphones</v>
      </c>
      <c r="J28">
        <f t="shared" si="2"/>
        <v>20</v>
      </c>
    </row>
    <row r="29" spans="1:10" ht="15.75" customHeight="1" x14ac:dyDescent="0.25">
      <c r="A29" t="s">
        <v>82</v>
      </c>
      <c r="B29" t="s">
        <v>83</v>
      </c>
      <c r="C29" t="s">
        <v>84</v>
      </c>
      <c r="D29" s="1">
        <v>60</v>
      </c>
      <c r="E29">
        <v>30</v>
      </c>
      <c r="F29" t="s">
        <v>16</v>
      </c>
      <c r="G29" s="2">
        <v>46088</v>
      </c>
      <c r="H29" t="str">
        <f t="shared" si="0"/>
        <v>CA</v>
      </c>
      <c r="I29" t="str">
        <f t="shared" si="1"/>
        <v>Zara Dress</v>
      </c>
      <c r="J29">
        <f t="shared" si="2"/>
        <v>30</v>
      </c>
    </row>
    <row r="30" spans="1:10" ht="15.75" customHeight="1" x14ac:dyDescent="0.25">
      <c r="A30" t="s">
        <v>85</v>
      </c>
      <c r="B30" t="s">
        <v>86</v>
      </c>
      <c r="C30" t="s">
        <v>87</v>
      </c>
      <c r="D30" s="1">
        <v>40</v>
      </c>
      <c r="E30">
        <v>10</v>
      </c>
      <c r="F30" t="s">
        <v>20</v>
      </c>
      <c r="G30" s="2">
        <v>46125</v>
      </c>
      <c r="H30" t="str">
        <f t="shared" si="0"/>
        <v>CA</v>
      </c>
      <c r="I30" t="str">
        <f t="shared" si="1"/>
        <v>Hamilton Toaster</v>
      </c>
      <c r="J30">
        <f t="shared" si="2"/>
        <v>10</v>
      </c>
    </row>
    <row r="31" spans="1:10" ht="15.75" customHeight="1" x14ac:dyDescent="0.25">
      <c r="A31" t="s">
        <v>88</v>
      </c>
      <c r="B31" t="s">
        <v>74</v>
      </c>
      <c r="C31" t="s">
        <v>89</v>
      </c>
      <c r="D31" s="1">
        <v>130</v>
      </c>
      <c r="E31">
        <v>5</v>
      </c>
      <c r="F31" t="s">
        <v>12</v>
      </c>
      <c r="G31" s="2">
        <v>46166</v>
      </c>
      <c r="H31" t="str">
        <f t="shared" si="0"/>
        <v>CA</v>
      </c>
      <c r="I31" t="str">
        <f t="shared" si="1"/>
        <v>Garmin Fitness Tracker</v>
      </c>
      <c r="J31">
        <f t="shared" si="2"/>
        <v>5</v>
      </c>
    </row>
    <row r="32" spans="1:10" ht="15.75" customHeight="1" x14ac:dyDescent="0.25">
      <c r="A32" t="s">
        <v>90</v>
      </c>
      <c r="B32" t="s">
        <v>91</v>
      </c>
      <c r="C32" t="s">
        <v>92</v>
      </c>
      <c r="D32" s="1">
        <v>50</v>
      </c>
      <c r="E32">
        <v>50</v>
      </c>
      <c r="F32" t="s">
        <v>16</v>
      </c>
      <c r="G32" s="2">
        <v>46358</v>
      </c>
      <c r="H32" t="str">
        <f t="shared" si="0"/>
        <v>CA</v>
      </c>
      <c r="I32" t="str">
        <f t="shared" si="1"/>
        <v>Levi's Jeans</v>
      </c>
      <c r="J32">
        <f t="shared" si="2"/>
        <v>50</v>
      </c>
    </row>
    <row r="33" spans="1:10" ht="15.75" customHeight="1" x14ac:dyDescent="0.25">
      <c r="A33" t="s">
        <v>93</v>
      </c>
      <c r="B33" t="s">
        <v>94</v>
      </c>
      <c r="C33" t="s">
        <v>95</v>
      </c>
      <c r="D33" s="1">
        <v>100</v>
      </c>
      <c r="E33">
        <v>20</v>
      </c>
      <c r="F33" t="s">
        <v>56</v>
      </c>
      <c r="G33" s="2">
        <v>46212</v>
      </c>
      <c r="H33" t="str">
        <f t="shared" si="0"/>
        <v>FR</v>
      </c>
      <c r="I33" t="str">
        <f t="shared" si="1"/>
        <v>Casio Watch</v>
      </c>
      <c r="J33">
        <f t="shared" si="2"/>
        <v>20</v>
      </c>
    </row>
    <row r="34" spans="1:10" ht="15.75" customHeight="1" x14ac:dyDescent="0.25"/>
    <row r="35" spans="1:10" ht="15.75" customHeight="1" x14ac:dyDescent="0.25"/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conditionalFormatting sqref="F2:F33">
    <cfRule type="cellIs" dxfId="0" priority="2" operator="equal">
      <formula>"Electronics"</formula>
    </cfRule>
  </conditionalFormatting>
  <conditionalFormatting sqref="D2:D33">
    <cfRule type="dataBar" priority="3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9" sqref="B9"/>
    </sheetView>
  </sheetViews>
  <sheetFormatPr defaultRowHeight="12.5" x14ac:dyDescent="0.25"/>
  <cols>
    <col min="1" max="1" width="27.453125" customWidth="1"/>
    <col min="2" max="2" width="60" customWidth="1"/>
  </cols>
  <sheetData>
    <row r="1" spans="1:2" ht="13" x14ac:dyDescent="0.3">
      <c r="A1" s="3" t="s">
        <v>96</v>
      </c>
      <c r="B1" s="3" t="s">
        <v>97</v>
      </c>
    </row>
    <row r="2" spans="1:2" x14ac:dyDescent="0.25">
      <c r="A2" t="s">
        <v>98</v>
      </c>
      <c r="B2" t="s">
        <v>99</v>
      </c>
    </row>
    <row r="3" spans="1:2" x14ac:dyDescent="0.25">
      <c r="A3" t="s">
        <v>100</v>
      </c>
      <c r="B3" t="s">
        <v>101</v>
      </c>
    </row>
    <row r="4" spans="1:2" x14ac:dyDescent="0.25">
      <c r="A4" t="s">
        <v>102</v>
      </c>
      <c r="B4" t="s">
        <v>103</v>
      </c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 t="s">
        <v>107</v>
      </c>
    </row>
    <row r="7" spans="1:2" x14ac:dyDescent="0.25">
      <c r="A7" t="s">
        <v>108</v>
      </c>
      <c r="B7" t="s">
        <v>109</v>
      </c>
    </row>
    <row r="8" spans="1:2" x14ac:dyDescent="0.25">
      <c r="A8" t="s">
        <v>110</v>
      </c>
      <c r="B8" t="s">
        <v>111</v>
      </c>
    </row>
    <row r="9" spans="1:2" x14ac:dyDescent="0.25">
      <c r="A9" t="s">
        <v>112</v>
      </c>
      <c r="B9" t="s">
        <v>113</v>
      </c>
    </row>
    <row r="10" spans="1:2" x14ac:dyDescent="0.25">
      <c r="A10" t="s">
        <v>114</v>
      </c>
      <c r="B10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Dhivakar V</cp:lastModifiedBy>
  <dcterms:created xsi:type="dcterms:W3CDTF">2026-06-28T11:40:02Z</dcterms:created>
  <dcterms:modified xsi:type="dcterms:W3CDTF">2026-06-28T12:13:59Z</dcterms:modified>
</cp:coreProperties>
</file>